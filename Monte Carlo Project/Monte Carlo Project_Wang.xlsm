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th1\OneDrive\Desktop\Excel VBA\Excel vba Part 3\"/>
    </mc:Choice>
  </mc:AlternateContent>
  <xr:revisionPtr revIDLastSave="63" documentId="13_ncr:201_{F79E36B4-1B4E-4E0A-A1BF-EEC86CABB834}" xr6:coauthVersionLast="41" xr6:coauthVersionMax="41" xr10:uidLastSave="{4D1C27BE-9A47-432C-A906-8C2E81FA8DE9}"/>
  <bookViews>
    <workbookView xWindow="19935" yWindow="3240" windowWidth="16995" windowHeight="15435" xr2:uid="{00000000-000D-0000-FFFF-FFFF00000000}"/>
  </bookViews>
  <sheets>
    <sheet name="Main" sheetId="1" r:id="rId1"/>
    <sheet name="Histogram" sheetId="82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<sst xmlns="http://schemas.openxmlformats.org/spreadsheetml/2006/main" count="28" uniqueCount="23">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</sst>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-112.5</c:v>
                </c:pt>
                <c:pt idx="1">
                  <c:v>-103.5</c:v>
                </c:pt>
                <c:pt idx="2">
                  <c:v>-94.5</c:v>
                </c:pt>
                <c:pt idx="3">
                  <c:v>-85.5</c:v>
                </c:pt>
                <c:pt idx="4">
                  <c:v>-76.5</c:v>
                </c:pt>
                <c:pt idx="5">
                  <c:v>-67.5</c:v>
                </c:pt>
                <c:pt idx="6">
                  <c:v>-58.5</c:v>
                </c:pt>
                <c:pt idx="7">
                  <c:v>-49.5</c:v>
                </c:pt>
                <c:pt idx="8">
                  <c:v>-40.5</c:v>
                </c:pt>
                <c:pt idx="9">
                  <c:v>-31.5</c:v>
                </c:pt>
                <c:pt idx="10">
                  <c:v>-22.5</c:v>
                </c:pt>
                <c:pt idx="11">
                  <c:v>-13.5</c:v>
                </c:pt>
                <c:pt idx="12">
                  <c:v>-4.5</c:v>
                </c:pt>
                <c:pt idx="13">
                  <c:v>4.5</c:v>
                </c:pt>
                <c:pt idx="14">
                  <c:v>13.5</c:v>
                </c:pt>
                <c:pt idx="15">
                  <c:v>22.5</c:v>
                </c:pt>
                <c:pt idx="16">
                  <c:v>31.5</c:v>
                </c:pt>
                <c:pt idx="17">
                  <c:v>40.5</c:v>
                </c:pt>
                <c:pt idx="18">
                  <c:v>49.5</c:v>
                </c:pt>
                <c:pt idx="19">
                  <c:v>58.5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9</c:v>
                </c:pt>
                <c:pt idx="3">
                  <c:v>24</c:v>
                </c:pt>
                <c:pt idx="4">
                  <c:v>38</c:v>
                </c:pt>
                <c:pt idx="5">
                  <c:v>47</c:v>
                </c:pt>
                <c:pt idx="6">
                  <c:v>82</c:v>
                </c:pt>
                <c:pt idx="7">
                  <c:v>123</c:v>
                </c:pt>
                <c:pt idx="8">
                  <c:v>133</c:v>
                </c:pt>
                <c:pt idx="9">
                  <c:v>119</c:v>
                </c:pt>
                <c:pt idx="10">
                  <c:v>136</c:v>
                </c:pt>
                <c:pt idx="11">
                  <c:v>90</c:v>
                </c:pt>
                <c:pt idx="12">
                  <c:v>77</c:v>
                </c:pt>
                <c:pt idx="13">
                  <c:v>51</c:v>
                </c:pt>
                <c:pt idx="14">
                  <c:v>31</c:v>
                </c:pt>
                <c:pt idx="15">
                  <c:v>19</c:v>
                </c:pt>
                <c:pt idx="16">
                  <c:v>12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D-4E59-9A4C-8F6A64EEC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671048"/>
        <c:axId val="618674000"/>
      </c:barChart>
      <c:catAx>
        <c:axId val="618671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674000"/>
        <c:crosses val="autoZero"/>
        <c:auto val="1"/>
        <c:lblAlgn val="ctr"/>
        <c:lblOffset val="100"/>
        <c:noMultiLvlLbl val="0"/>
      </c:catAx>
      <c:valAx>
        <c:axId val="61867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67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BC2F42E-8537-434B-97F3-31CA262627BE}">
  <sheetPr codeName="Chart15"/>
  <sheetViews>
    <sheetView zoomScale="8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25</xdr:row>
          <xdr:rowOff>0</xdr:rowOff>
        </xdr:from>
        <xdr:to>
          <xdr:col>5</xdr:col>
          <xdr:colOff>523875</xdr:colOff>
          <xdr:row>27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F3B66-5348-4DEC-AB8C-E36B2305672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D32" sqref="D32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10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5">
        <v>-4</v>
      </c>
      <c r="D3" t="s">
        <v>2</v>
      </c>
      <c r="E3" s="15">
        <v>26.923153022378429</v>
      </c>
      <c r="G3" t="s">
        <v>3</v>
      </c>
      <c r="H3" s="5">
        <v>-9.8740991971683432</v>
      </c>
    </row>
    <row r="4" spans="1:16" ht="15.75" thickBot="1" x14ac:dyDescent="0.3">
      <c r="A4" t="s">
        <v>4</v>
      </c>
      <c r="B4" s="6">
        <v>-3.3976489089950674</v>
      </c>
      <c r="D4" t="s">
        <v>5</v>
      </c>
      <c r="E4" s="7">
        <v>0.4</v>
      </c>
      <c r="G4" t="s">
        <v>6</v>
      </c>
      <c r="H4" s="8">
        <v>0.11831632137298584</v>
      </c>
    </row>
    <row r="5" spans="1:16" x14ac:dyDescent="0.25">
      <c r="A5" t="s">
        <v>7</v>
      </c>
      <c r="B5" s="9">
        <v>-105.59459570362077</v>
      </c>
      <c r="H5" s="10"/>
    </row>
    <row r="6" spans="1:16" x14ac:dyDescent="0.25">
      <c r="A6" t="s">
        <v>8</v>
      </c>
      <c r="B6" s="9">
        <v>-20.625114142894745</v>
      </c>
      <c r="E6" t="s">
        <v>9</v>
      </c>
      <c r="H6" s="10"/>
    </row>
    <row r="7" spans="1:16" ht="15.75" thickBot="1" x14ac:dyDescent="0.3">
      <c r="A7" t="s">
        <v>10</v>
      </c>
      <c r="B7" s="14">
        <v>-12.134248763582088</v>
      </c>
      <c r="E7" t="s">
        <v>11</v>
      </c>
      <c r="H7" s="10"/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1">
        <f>0.5*CTDC</f>
        <v>-52.797297851810384</v>
      </c>
      <c r="C10" s="11"/>
      <c r="D10" s="11">
        <f>Cland</f>
        <v>-4</v>
      </c>
      <c r="E10" s="11"/>
      <c r="F10" s="11"/>
      <c r="G10" s="11"/>
      <c r="H10" s="11"/>
      <c r="I10" s="11"/>
      <c r="J10" s="11"/>
      <c r="L10">
        <f>B10+D10</f>
        <v>-56.797297851810384</v>
      </c>
      <c r="M10" s="11">
        <f t="shared" ref="M10:M24" si="0">L10/(1+i)^(A10-1)</f>
        <v>-56.797297851810384</v>
      </c>
      <c r="N10" s="11">
        <f>M10</f>
        <v>-56.797297851810384</v>
      </c>
    </row>
    <row r="11" spans="1:16" x14ac:dyDescent="0.25">
      <c r="A11">
        <v>2</v>
      </c>
      <c r="B11" s="11">
        <f>0.5*CTDC</f>
        <v>-52.797297851810384</v>
      </c>
      <c r="C11" s="11">
        <f>WC</f>
        <v>-20.625114142894745</v>
      </c>
      <c r="D11" s="11"/>
      <c r="E11" s="11"/>
      <c r="F11" s="11">
        <f>Cstart</f>
        <v>-12.134248763582088</v>
      </c>
      <c r="G11" s="11"/>
      <c r="H11" s="11"/>
      <c r="I11" s="11"/>
      <c r="J11" s="11"/>
      <c r="L11">
        <f>B11+C11+F11</f>
        <v>-85.556660758287222</v>
      </c>
      <c r="M11" s="11">
        <f t="shared" si="0"/>
        <v>-76.504884282871856</v>
      </c>
      <c r="N11" s="11">
        <f>N10+M11</f>
        <v>-133.30218213468225</v>
      </c>
    </row>
    <row r="12" spans="1:16" x14ac:dyDescent="0.25">
      <c r="A12">
        <v>3</v>
      </c>
      <c r="B12" s="11"/>
      <c r="C12" s="11"/>
      <c r="D12" s="11"/>
      <c r="E12" s="11">
        <f t="shared" ref="E12:E24" si="1">Croyal</f>
        <v>-3.3976489089950674</v>
      </c>
      <c r="F12" s="11"/>
      <c r="G12" s="11"/>
      <c r="H12" s="11">
        <f>P12*-CTDC</f>
        <v>15.089467726047408</v>
      </c>
      <c r="I12" s="11">
        <f>0.5*S</f>
        <v>13.461576511189215</v>
      </c>
      <c r="J12" s="11">
        <f>0.5*COS</f>
        <v>-4.9370495985841716</v>
      </c>
      <c r="K12" s="11">
        <f>(1-tax)*(I12-J12-H12)</f>
        <v>1.9854950302355863</v>
      </c>
      <c r="L12" s="11">
        <f t="shared" ref="L12:L23" si="2">K12+H12+E12</f>
        <v>13.677313847287925</v>
      </c>
      <c r="M12" s="11">
        <f t="shared" si="0"/>
        <v>10.9363269671671</v>
      </c>
      <c r="N12" s="11">
        <f t="shared" ref="N12:N23" si="3">N11+M12</f>
        <v>-122.36585516751515</v>
      </c>
      <c r="P12" s="12">
        <v>0.1429</v>
      </c>
    </row>
    <row r="13" spans="1:16" x14ac:dyDescent="0.25">
      <c r="A13">
        <v>4</v>
      </c>
      <c r="B13" s="11"/>
      <c r="C13" s="11"/>
      <c r="D13" s="11"/>
      <c r="E13" s="11">
        <f t="shared" si="1"/>
        <v>-3.3976489089950674</v>
      </c>
      <c r="F13" s="11"/>
      <c r="G13" s="11"/>
      <c r="H13" s="11">
        <f t="shared" ref="H13:H19" si="4">P13*-CTDC</f>
        <v>25.860116487816725</v>
      </c>
      <c r="I13" s="11">
        <f>0.8*S</f>
        <v>21.538522417902744</v>
      </c>
      <c r="J13" s="11">
        <f>0.8*COS</f>
        <v>-7.8992793577346747</v>
      </c>
      <c r="K13" s="11">
        <f t="shared" ref="K13:K24" si="5">(1-tax)*(I13-J13-H13)</f>
        <v>2.1466111726924155</v>
      </c>
      <c r="L13" s="11">
        <f t="shared" si="2"/>
        <v>24.609078751514076</v>
      </c>
      <c r="M13" s="11">
        <f t="shared" si="0"/>
        <v>17.595490023385558</v>
      </c>
      <c r="N13" s="11">
        <f t="shared" si="3"/>
        <v>-104.77036514412958</v>
      </c>
      <c r="P13" s="12">
        <v>0.24490000000000001</v>
      </c>
    </row>
    <row r="14" spans="1:16" x14ac:dyDescent="0.25">
      <c r="A14">
        <v>5</v>
      </c>
      <c r="B14" s="11"/>
      <c r="C14" s="11"/>
      <c r="D14" s="11"/>
      <c r="E14" s="11">
        <f t="shared" si="1"/>
        <v>-3.3976489089950674</v>
      </c>
      <c r="F14" s="11"/>
      <c r="G14" s="11"/>
      <c r="H14" s="11">
        <f t="shared" si="4"/>
        <v>18.468494788563273</v>
      </c>
      <c r="I14" s="11">
        <f t="shared" ref="I14:I24" si="6">S</f>
        <v>26.923153022378429</v>
      </c>
      <c r="J14" s="11">
        <f t="shared" ref="J14:J24" si="7">COS</f>
        <v>-9.8740991971683432</v>
      </c>
      <c r="K14" s="11">
        <f t="shared" si="5"/>
        <v>10.997254458590097</v>
      </c>
      <c r="L14" s="11">
        <f t="shared" si="2"/>
        <v>26.068100338158303</v>
      </c>
      <c r="M14" s="11">
        <f t="shared" si="0"/>
        <v>16.666742696583743</v>
      </c>
      <c r="N14" s="11">
        <f t="shared" si="3"/>
        <v>-88.103622447545845</v>
      </c>
      <c r="P14" s="12">
        <v>0.1749</v>
      </c>
    </row>
    <row r="15" spans="1:16" x14ac:dyDescent="0.25">
      <c r="A15">
        <v>6</v>
      </c>
      <c r="B15" s="11"/>
      <c r="C15" s="11"/>
      <c r="D15" s="11"/>
      <c r="E15" s="11">
        <f t="shared" si="1"/>
        <v>-3.3976489089950674</v>
      </c>
      <c r="F15" s="11"/>
      <c r="G15" s="11"/>
      <c r="H15" s="11">
        <f t="shared" si="4"/>
        <v>13.188765003382233</v>
      </c>
      <c r="I15" s="11">
        <f t="shared" si="6"/>
        <v>26.923153022378429</v>
      </c>
      <c r="J15" s="11">
        <f t="shared" si="7"/>
        <v>-9.8740991971683432</v>
      </c>
      <c r="K15" s="11">
        <f t="shared" si="5"/>
        <v>14.165092329698721</v>
      </c>
      <c r="L15" s="11">
        <f t="shared" si="2"/>
        <v>23.956208424085887</v>
      </c>
      <c r="M15" s="11">
        <f t="shared" si="0"/>
        <v>13.696032137544044</v>
      </c>
      <c r="N15" s="11">
        <f t="shared" si="3"/>
        <v>-74.407590310001808</v>
      </c>
      <c r="P15" s="12">
        <v>0.1249</v>
      </c>
    </row>
    <row r="16" spans="1:16" x14ac:dyDescent="0.25">
      <c r="A16">
        <v>7</v>
      </c>
      <c r="B16" s="11"/>
      <c r="C16" s="11"/>
      <c r="D16" s="11"/>
      <c r="E16" s="11">
        <f t="shared" si="1"/>
        <v>-3.3976489089950674</v>
      </c>
      <c r="F16" s="11"/>
      <c r="G16" s="11"/>
      <c r="H16" s="11">
        <f t="shared" si="4"/>
        <v>9.4295973963333353</v>
      </c>
      <c r="I16" s="11">
        <f t="shared" si="6"/>
        <v>26.923153022378429</v>
      </c>
      <c r="J16" s="11">
        <f t="shared" si="7"/>
        <v>-9.8740991971683432</v>
      </c>
      <c r="K16" s="11">
        <f t="shared" si="5"/>
        <v>16.42059289392806</v>
      </c>
      <c r="L16" s="11">
        <f t="shared" si="2"/>
        <v>22.452541381266329</v>
      </c>
      <c r="M16" s="11">
        <f t="shared" si="0"/>
        <v>11.478298792489545</v>
      </c>
      <c r="N16" s="11">
        <f t="shared" si="3"/>
        <v>-62.929291517512262</v>
      </c>
      <c r="P16" s="12">
        <v>8.9300000000000004E-2</v>
      </c>
    </row>
    <row r="17" spans="1:16" x14ac:dyDescent="0.25">
      <c r="A17">
        <v>8</v>
      </c>
      <c r="B17" s="11"/>
      <c r="C17" s="11"/>
      <c r="D17" s="11"/>
      <c r="E17" s="11">
        <f t="shared" si="1"/>
        <v>-3.3976489089950674</v>
      </c>
      <c r="F17" s="11"/>
      <c r="G17" s="11"/>
      <c r="H17" s="11">
        <f t="shared" si="4"/>
        <v>9.4190379367629724</v>
      </c>
      <c r="I17" s="11">
        <f t="shared" si="6"/>
        <v>26.923153022378429</v>
      </c>
      <c r="J17" s="11">
        <f t="shared" si="7"/>
        <v>-9.8740991971683432</v>
      </c>
      <c r="K17" s="11">
        <f t="shared" si="5"/>
        <v>16.426928569670277</v>
      </c>
      <c r="L17" s="11">
        <f t="shared" si="2"/>
        <v>22.448317597438184</v>
      </c>
      <c r="M17" s="11">
        <f t="shared" si="0"/>
        <v>10.261979790143434</v>
      </c>
      <c r="N17" s="11">
        <f t="shared" si="3"/>
        <v>-52.667311727368826</v>
      </c>
      <c r="P17" s="12">
        <v>8.9200000000000002E-2</v>
      </c>
    </row>
    <row r="18" spans="1:16" x14ac:dyDescent="0.25">
      <c r="A18">
        <v>9</v>
      </c>
      <c r="B18" s="11"/>
      <c r="C18" s="11"/>
      <c r="D18" s="11"/>
      <c r="E18" s="11">
        <f t="shared" si="1"/>
        <v>-3.3976489089950674</v>
      </c>
      <c r="F18" s="11"/>
      <c r="G18" s="11"/>
      <c r="H18" s="11">
        <f t="shared" si="4"/>
        <v>9.4295973963333353</v>
      </c>
      <c r="I18" s="11">
        <f t="shared" si="6"/>
        <v>26.923153022378429</v>
      </c>
      <c r="J18" s="11">
        <f t="shared" si="7"/>
        <v>-9.8740991971683432</v>
      </c>
      <c r="K18" s="11">
        <f t="shared" si="5"/>
        <v>16.42059289392806</v>
      </c>
      <c r="L18" s="11">
        <f t="shared" si="2"/>
        <v>22.452541381266329</v>
      </c>
      <c r="M18" s="11">
        <f t="shared" si="0"/>
        <v>9.1780030803633572</v>
      </c>
      <c r="N18" s="11">
        <f t="shared" si="3"/>
        <v>-43.489308647005473</v>
      </c>
      <c r="P18" s="12">
        <v>8.9300000000000004E-2</v>
      </c>
    </row>
    <row r="19" spans="1:16" x14ac:dyDescent="0.25">
      <c r="A19">
        <v>10</v>
      </c>
      <c r="B19" s="11"/>
      <c r="C19" s="11"/>
      <c r="D19" s="11"/>
      <c r="E19" s="11">
        <f t="shared" si="1"/>
        <v>-3.3976489089950674</v>
      </c>
      <c r="F19" s="11"/>
      <c r="G19" s="11"/>
      <c r="H19" s="11">
        <f t="shared" si="4"/>
        <v>4.7095189683814862</v>
      </c>
      <c r="I19" s="11">
        <f t="shared" si="6"/>
        <v>26.923153022378429</v>
      </c>
      <c r="J19" s="11">
        <f t="shared" si="7"/>
        <v>-9.8740991971683432</v>
      </c>
      <c r="K19" s="11">
        <f t="shared" si="5"/>
        <v>19.252639950699169</v>
      </c>
      <c r="L19" s="11">
        <f t="shared" si="2"/>
        <v>20.564510010085591</v>
      </c>
      <c r="M19" s="11">
        <f t="shared" si="0"/>
        <v>7.5168588698618466</v>
      </c>
      <c r="N19" s="11">
        <f t="shared" si="3"/>
        <v>-35.972449777143623</v>
      </c>
      <c r="P19" s="12">
        <v>4.4600000000000001E-2</v>
      </c>
    </row>
    <row r="20" spans="1:16" x14ac:dyDescent="0.25">
      <c r="A20">
        <v>11</v>
      </c>
      <c r="B20" s="11"/>
      <c r="C20" s="11"/>
      <c r="D20" s="11"/>
      <c r="E20" s="11">
        <f t="shared" si="1"/>
        <v>-3.3976489089950674</v>
      </c>
      <c r="F20" s="11"/>
      <c r="G20" s="11"/>
      <c r="H20" s="11"/>
      <c r="I20" s="11">
        <f t="shared" si="6"/>
        <v>26.923153022378429</v>
      </c>
      <c r="J20" s="11">
        <f t="shared" si="7"/>
        <v>-9.8740991971683432</v>
      </c>
      <c r="K20" s="11">
        <f t="shared" si="5"/>
        <v>22.078351331728062</v>
      </c>
      <c r="L20" s="11">
        <f t="shared" si="2"/>
        <v>18.680702422732995</v>
      </c>
      <c r="M20" s="11">
        <f t="shared" si="0"/>
        <v>6.105856163770814</v>
      </c>
      <c r="N20" s="11">
        <f t="shared" si="3"/>
        <v>-29.86659361337281</v>
      </c>
    </row>
    <row r="21" spans="1:16" x14ac:dyDescent="0.25">
      <c r="A21">
        <v>12</v>
      </c>
      <c r="B21" s="11"/>
      <c r="C21" s="11"/>
      <c r="D21" s="11"/>
      <c r="E21" s="11">
        <f t="shared" si="1"/>
        <v>-3.3976489089950674</v>
      </c>
      <c r="F21" s="11"/>
      <c r="G21" s="11"/>
      <c r="H21" s="11"/>
      <c r="I21" s="11">
        <f t="shared" si="6"/>
        <v>26.923153022378429</v>
      </c>
      <c r="J21" s="11">
        <f t="shared" si="7"/>
        <v>-9.8740991971683432</v>
      </c>
      <c r="K21" s="11">
        <f t="shared" si="5"/>
        <v>22.078351331728062</v>
      </c>
      <c r="L21" s="11">
        <f t="shared" si="2"/>
        <v>18.680702422732995</v>
      </c>
      <c r="M21" s="11">
        <f t="shared" si="0"/>
        <v>5.4598650194736473</v>
      </c>
      <c r="N21" s="11">
        <f t="shared" si="3"/>
        <v>-24.406728593899164</v>
      </c>
    </row>
    <row r="22" spans="1:16" x14ac:dyDescent="0.25">
      <c r="A22">
        <v>13</v>
      </c>
      <c r="B22" s="11"/>
      <c r="C22" s="11"/>
      <c r="D22" s="11"/>
      <c r="E22" s="11">
        <f t="shared" si="1"/>
        <v>-3.3976489089950674</v>
      </c>
      <c r="F22" s="11"/>
      <c r="G22" s="11"/>
      <c r="H22" s="11"/>
      <c r="I22" s="11">
        <f t="shared" si="6"/>
        <v>26.923153022378429</v>
      </c>
      <c r="J22" s="11">
        <f t="shared" si="7"/>
        <v>-9.8740991971683432</v>
      </c>
      <c r="K22" s="11">
        <f t="shared" si="5"/>
        <v>22.078351331728062</v>
      </c>
      <c r="L22" s="11">
        <f t="shared" si="2"/>
        <v>18.680702422732995</v>
      </c>
      <c r="M22" s="11">
        <f t="shared" si="0"/>
        <v>4.8822188455323889</v>
      </c>
      <c r="N22" s="11">
        <f t="shared" si="3"/>
        <v>-19.524509748366775</v>
      </c>
    </row>
    <row r="23" spans="1:16" ht="15.75" thickBot="1" x14ac:dyDescent="0.3">
      <c r="A23">
        <v>14</v>
      </c>
      <c r="B23" s="11"/>
      <c r="C23" s="11"/>
      <c r="D23" s="11"/>
      <c r="E23" s="11">
        <f t="shared" si="1"/>
        <v>-3.3976489089950674</v>
      </c>
      <c r="F23" s="11"/>
      <c r="G23" s="11"/>
      <c r="H23" s="11"/>
      <c r="I23" s="11">
        <f t="shared" si="6"/>
        <v>26.923153022378429</v>
      </c>
      <c r="J23" s="11">
        <f t="shared" si="7"/>
        <v>-9.8740991971683432</v>
      </c>
      <c r="K23" s="11">
        <f t="shared" si="5"/>
        <v>22.078351331728062</v>
      </c>
      <c r="L23" s="11">
        <f t="shared" si="2"/>
        <v>18.680702422732995</v>
      </c>
      <c r="M23" s="11">
        <f t="shared" si="0"/>
        <v>4.3656868385309462</v>
      </c>
      <c r="N23" s="11">
        <f t="shared" si="3"/>
        <v>-15.158822909835829</v>
      </c>
    </row>
    <row r="24" spans="1:16" ht="15.75" thickBot="1" x14ac:dyDescent="0.3">
      <c r="A24">
        <v>15</v>
      </c>
      <c r="B24" s="11"/>
      <c r="C24" s="11">
        <f>-WC</f>
        <v>20.625114142894745</v>
      </c>
      <c r="D24" s="11"/>
      <c r="E24" s="11">
        <f t="shared" si="1"/>
        <v>-3.3976489089950674</v>
      </c>
      <c r="F24" s="11"/>
      <c r="G24" s="11"/>
      <c r="H24" s="11"/>
      <c r="I24" s="11">
        <f t="shared" si="6"/>
        <v>26.923153022378429</v>
      </c>
      <c r="J24" s="11">
        <f t="shared" si="7"/>
        <v>-9.8740991971683432</v>
      </c>
      <c r="K24" s="11">
        <f t="shared" si="5"/>
        <v>22.078351331728062</v>
      </c>
      <c r="L24" s="11">
        <f>C24+K24+G24+E24</f>
        <v>39.305816565627737</v>
      </c>
      <c r="M24" s="11">
        <f t="shared" si="0"/>
        <v>8.2139402028294342</v>
      </c>
      <c r="N24" s="13">
        <f>N23+M24</f>
        <v>-6.9448827070063945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Form">
                <anchor moveWithCells="1" sizeWithCells="1">
                  <from>
                    <xdr:col>3</xdr:col>
                    <xdr:colOff>323850</xdr:colOff>
                    <xdr:row>25</xdr:row>
                    <xdr:rowOff>0</xdr:rowOff>
                  </from>
                  <to>
                    <xdr:col>5</xdr:col>
                    <xdr:colOff>523875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0"/>
  <sheetViews>
    <sheetView workbookViewId="0">
      <selection sqref="A1:B20"/>
    </sheetView>
  </sheetViews>
  <sheetFormatPr defaultRowHeight="15" x14ac:dyDescent="0.25"/>
  <sheetData>
    <row r="1" spans="1:2" x14ac:dyDescent="0.25">
      <c r="A1">
        <v>-112.5</v>
      </c>
      <c r="B1">
        <v>2</v>
      </c>
    </row>
    <row r="2" spans="1:2" x14ac:dyDescent="0.25">
      <c r="A2">
        <v>-103.5</v>
      </c>
      <c r="B2">
        <v>2</v>
      </c>
    </row>
    <row r="3" spans="1:2" x14ac:dyDescent="0.25">
      <c r="A3">
        <v>-94.5</v>
      </c>
      <c r="B3">
        <v>9</v>
      </c>
    </row>
    <row r="4" spans="1:2" x14ac:dyDescent="0.25">
      <c r="A4">
        <v>-85.5</v>
      </c>
      <c r="B4">
        <v>24</v>
      </c>
    </row>
    <row r="5" spans="1:2" x14ac:dyDescent="0.25">
      <c r="A5">
        <v>-76.5</v>
      </c>
      <c r="B5">
        <v>38</v>
      </c>
    </row>
    <row r="6" spans="1:2" x14ac:dyDescent="0.25">
      <c r="A6">
        <v>-67.5</v>
      </c>
      <c r="B6">
        <v>47</v>
      </c>
    </row>
    <row r="7" spans="1:2" x14ac:dyDescent="0.25">
      <c r="A7">
        <v>-58.5</v>
      </c>
      <c r="B7">
        <v>82</v>
      </c>
    </row>
    <row r="8" spans="1:2" x14ac:dyDescent="0.25">
      <c r="A8">
        <v>-49.5</v>
      </c>
      <c r="B8">
        <v>123</v>
      </c>
    </row>
    <row r="9" spans="1:2" x14ac:dyDescent="0.25">
      <c r="A9">
        <v>-40.5</v>
      </c>
      <c r="B9">
        <v>133</v>
      </c>
    </row>
    <row r="10" spans="1:2" x14ac:dyDescent="0.25">
      <c r="A10">
        <v>-31.5</v>
      </c>
      <c r="B10">
        <v>119</v>
      </c>
    </row>
    <row r="11" spans="1:2" x14ac:dyDescent="0.25">
      <c r="A11">
        <v>-22.5</v>
      </c>
      <c r="B11">
        <v>136</v>
      </c>
    </row>
    <row r="12" spans="1:2" x14ac:dyDescent="0.25">
      <c r="A12">
        <v>-13.5</v>
      </c>
      <c r="B12">
        <v>90</v>
      </c>
    </row>
    <row r="13" spans="1:2" x14ac:dyDescent="0.25">
      <c r="A13">
        <v>-4.5</v>
      </c>
      <c r="B13">
        <v>77</v>
      </c>
    </row>
    <row r="14" spans="1:2" x14ac:dyDescent="0.25">
      <c r="A14">
        <v>4.5</v>
      </c>
      <c r="B14">
        <v>51</v>
      </c>
    </row>
    <row r="15" spans="1:2" x14ac:dyDescent="0.25">
      <c r="A15">
        <v>13.5</v>
      </c>
      <c r="B15">
        <v>31</v>
      </c>
    </row>
    <row r="16" spans="1:2" x14ac:dyDescent="0.25">
      <c r="A16">
        <v>22.5</v>
      </c>
      <c r="B16">
        <v>19</v>
      </c>
    </row>
    <row r="17" spans="1:2" x14ac:dyDescent="0.25">
      <c r="A17">
        <v>31.5</v>
      </c>
      <c r="B17">
        <v>12</v>
      </c>
    </row>
    <row r="18" spans="1:2" x14ac:dyDescent="0.25">
      <c r="A18">
        <v>40.5</v>
      </c>
      <c r="B18">
        <v>1</v>
      </c>
    </row>
    <row r="19" spans="1:2" x14ac:dyDescent="0.25">
      <c r="A19">
        <v>49.5</v>
      </c>
      <c r="B19">
        <v>1</v>
      </c>
    </row>
    <row r="20" spans="1:2" x14ac:dyDescent="0.25">
      <c r="A20">
        <v>58.5</v>
      </c>
      <c r="B2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Tony Bai</cp:lastModifiedBy>
  <dcterms:created xsi:type="dcterms:W3CDTF">2013-10-29T18:00:12Z</dcterms:created>
  <dcterms:modified xsi:type="dcterms:W3CDTF">2019-10-21T19:15:52Z</dcterms:modified>
</cp:coreProperties>
</file>