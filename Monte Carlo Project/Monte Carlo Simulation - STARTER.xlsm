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th1\OneDrive\Desktop\Excel VBA\Excel vba Part 3\"/>
    </mc:Choice>
  </mc:AlternateContent>
  <xr:revisionPtr revIDLastSave="88" documentId="11_1A86D08DA18D94803E00055EE232BE17D8307053" xr6:coauthVersionLast="41" xr6:coauthVersionMax="41" xr10:uidLastSave="{A801CFC6-A4C5-4270-A016-F35D51E6824C}"/>
  <bookViews>
    <workbookView xWindow="8055" yWindow="2520" windowWidth="16275" windowHeight="15435" activeTab="1" xr2:uid="{00000000-000D-0000-FFFF-FFFF00000000}"/>
  </bookViews>
  <sheets>
    <sheet name="Main" sheetId="1" r:id="rId1"/>
    <sheet name="Histogram" sheetId="58" r:id="rId2"/>
    <sheet name="Histogram Data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" l="1"/>
  <c r="H3" i="1"/>
  <c r="H11" i="1" l="1"/>
  <c r="H10" i="1"/>
  <c r="H9" i="1"/>
  <c r="H8" i="1"/>
  <c r="H7" i="1"/>
  <c r="H6" i="1"/>
  <c r="H5" i="1"/>
  <c r="H13" i="1" l="1"/>
  <c r="H16" i="1" s="1"/>
  <c r="H19" i="1" s="1"/>
</calcChain>
</file>

<file path=xl/sharedStrings.xml><?xml version="1.0" encoding="utf-8"?>
<sst xmlns="http://schemas.openxmlformats.org/spreadsheetml/2006/main" count="49" uniqueCount="37">
  <si>
    <t>Flour</t>
  </si>
  <si>
    <t>specific cost</t>
  </si>
  <si>
    <t>amt.</t>
  </si>
  <si>
    <t>1 batch of Cookies</t>
  </si>
  <si>
    <t>units</t>
  </si>
  <si>
    <t>per lb</t>
  </si>
  <si>
    <t>cups</t>
  </si>
  <si>
    <t>total cost per batch</t>
  </si>
  <si>
    <t>tsp</t>
  </si>
  <si>
    <t>other</t>
  </si>
  <si>
    <t>g/cup</t>
  </si>
  <si>
    <t>g/cm^3</t>
  </si>
  <si>
    <t>per oz.</t>
  </si>
  <si>
    <t>per stick</t>
  </si>
  <si>
    <t>sticks</t>
  </si>
  <si>
    <t>cup</t>
  </si>
  <si>
    <t>per fl. oz.</t>
  </si>
  <si>
    <t>Eggs</t>
  </si>
  <si>
    <t>per egg</t>
  </si>
  <si>
    <t>eggs, large</t>
  </si>
  <si>
    <t>per bag</t>
  </si>
  <si>
    <t>bag</t>
  </si>
  <si>
    <t>Total:</t>
  </si>
  <si>
    <t>Per cookie:</t>
  </si>
  <si>
    <t>Total cookies:</t>
  </si>
  <si>
    <t>Baking soda</t>
  </si>
  <si>
    <t>Salt</t>
  </si>
  <si>
    <t>Butter</t>
  </si>
  <si>
    <t>Sugar</t>
  </si>
  <si>
    <t>Brown sugar</t>
  </si>
  <si>
    <t>Vanilla</t>
  </si>
  <si>
    <t>Selling price:</t>
  </si>
  <si>
    <t>per cookie</t>
  </si>
  <si>
    <t>Profit:</t>
  </si>
  <si>
    <t>Chocolate chips</t>
  </si>
  <si>
    <t>*IMPORTANT: DO NOT DELETE THIS SHEET</t>
  </si>
  <si>
    <t>OR CHANGE ITS NAME!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</si>
</sst>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.000_);_(&quot;$&quot;* \(#,##0.000\);_(&quot;$&quot;* &quot;-&quot;??_);_(@_)"/>
    <numFmt numFmtId="165" formatCode="&quot;$&quot;#,##0.000_);[Red]\(&quot;$&quot;#,##0.000\)"/>
    <numFmt numFmtId="167" formatCode="_([$$-409]* #,##0.00_);_([$$-409]* \(#,##0.00\);_([$$-409]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  <xf numFmtId="9" fontId="0" fillId="0" borderId="0" xfId="0" quotePrefix="1" applyNumberFormat="1"/>
    <xf numFmtId="0" fontId="0" fillId="0" borderId="0" xfId="0" quotePrefix="1"/>
    <xf numFmtId="44" fontId="0" fillId="0" borderId="0" xfId="1" applyNumberFormat="1" applyFont="1"/>
    <xf numFmtId="44" fontId="0" fillId="0" borderId="1" xfId="0" applyNumberFormat="1" applyBorder="1"/>
    <xf numFmtId="0" fontId="0" fillId="0" borderId="0" xfId="0" applyAlignment="1">
      <alignment horizontal="right"/>
    </xf>
    <xf numFmtId="8" fontId="0" fillId="0" borderId="0" xfId="0" applyNumberFormat="1"/>
    <xf numFmtId="44" fontId="0" fillId="0" borderId="0" xfId="0" applyNumberFormat="1" applyAlignment="1">
      <alignment horizontal="right"/>
    </xf>
    <xf numFmtId="164" fontId="0" fillId="0" borderId="0" xfId="0" applyNumberFormat="1"/>
    <xf numFmtId="165" fontId="2" fillId="2" borderId="1" xfId="0" applyNumberFormat="1" applyFont="1" applyFill="1" applyBorder="1"/>
    <xf numFmtId="167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Data'!$A$1:$A$29</c:f>
              <c:numCache>
                <c:formatCode>General</c:formatCode>
                <c:ptCount val="29"/>
                <c:pt idx="0">
                  <c:v>0.1245</c:v>
                </c:pt>
                <c:pt idx="1">
                  <c:v>0.1255</c:v>
                </c:pt>
                <c:pt idx="2">
                  <c:v>0.1265</c:v>
                </c:pt>
                <c:pt idx="3">
                  <c:v>0.1275</c:v>
                </c:pt>
                <c:pt idx="4">
                  <c:v>0.1285</c:v>
                </c:pt>
                <c:pt idx="5">
                  <c:v>0.1295</c:v>
                </c:pt>
                <c:pt idx="6">
                  <c:v>0.1305</c:v>
                </c:pt>
                <c:pt idx="7">
                  <c:v>0.13150000000000001</c:v>
                </c:pt>
                <c:pt idx="8">
                  <c:v>0.13250000000000001</c:v>
                </c:pt>
                <c:pt idx="9">
                  <c:v>0.13350000000000001</c:v>
                </c:pt>
                <c:pt idx="10">
                  <c:v>0.13450000000000001</c:v>
                </c:pt>
                <c:pt idx="11">
                  <c:v>0.13550000000000001</c:v>
                </c:pt>
                <c:pt idx="12">
                  <c:v>0.13650000000000001</c:v>
                </c:pt>
                <c:pt idx="13">
                  <c:v>0.13750000000000001</c:v>
                </c:pt>
                <c:pt idx="14">
                  <c:v>0.13850000000000001</c:v>
                </c:pt>
                <c:pt idx="15">
                  <c:v>0.13950000000000001</c:v>
                </c:pt>
                <c:pt idx="16">
                  <c:v>0.14050000000000001</c:v>
                </c:pt>
                <c:pt idx="17">
                  <c:v>0.14150000000000001</c:v>
                </c:pt>
                <c:pt idx="18">
                  <c:v>0.14250000000000002</c:v>
                </c:pt>
                <c:pt idx="19">
                  <c:v>0.14350000000000002</c:v>
                </c:pt>
                <c:pt idx="20">
                  <c:v>0.14450000000000002</c:v>
                </c:pt>
                <c:pt idx="21">
                  <c:v>0.14550000000000002</c:v>
                </c:pt>
                <c:pt idx="22">
                  <c:v>0.14650000000000002</c:v>
                </c:pt>
                <c:pt idx="23">
                  <c:v>0.14750000000000002</c:v>
                </c:pt>
                <c:pt idx="24">
                  <c:v>0.14850000000000002</c:v>
                </c:pt>
                <c:pt idx="25">
                  <c:v>0.14950000000000002</c:v>
                </c:pt>
                <c:pt idx="26">
                  <c:v>0.15050000000000002</c:v>
                </c:pt>
                <c:pt idx="27">
                  <c:v>0.15150000000000002</c:v>
                </c:pt>
                <c:pt idx="28">
                  <c:v>0.15250000000000002</c:v>
                </c:pt>
              </c:numCache>
            </c:numRef>
          </c:cat>
          <c:val>
            <c:numRef>
              <c:f>'Histogram Data'!$B$1:$B$29</c:f>
              <c:numCache>
                <c:formatCode>General</c:formatCode>
                <c:ptCount val="29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27</c:v>
                </c:pt>
                <c:pt idx="4">
                  <c:v>42</c:v>
                </c:pt>
                <c:pt idx="5">
                  <c:v>56</c:v>
                </c:pt>
                <c:pt idx="6">
                  <c:v>36</c:v>
                </c:pt>
                <c:pt idx="7">
                  <c:v>18</c:v>
                </c:pt>
                <c:pt idx="8">
                  <c:v>32</c:v>
                </c:pt>
                <c:pt idx="9">
                  <c:v>25</c:v>
                </c:pt>
                <c:pt idx="10">
                  <c:v>23</c:v>
                </c:pt>
                <c:pt idx="11">
                  <c:v>12</c:v>
                </c:pt>
                <c:pt idx="12">
                  <c:v>9</c:v>
                </c:pt>
                <c:pt idx="13">
                  <c:v>25</c:v>
                </c:pt>
                <c:pt idx="14">
                  <c:v>55</c:v>
                </c:pt>
                <c:pt idx="15">
                  <c:v>105</c:v>
                </c:pt>
                <c:pt idx="16">
                  <c:v>122</c:v>
                </c:pt>
                <c:pt idx="17">
                  <c:v>82</c:v>
                </c:pt>
                <c:pt idx="18">
                  <c:v>66</c:v>
                </c:pt>
                <c:pt idx="19">
                  <c:v>61</c:v>
                </c:pt>
                <c:pt idx="20">
                  <c:v>55</c:v>
                </c:pt>
                <c:pt idx="21">
                  <c:v>60</c:v>
                </c:pt>
                <c:pt idx="22">
                  <c:v>29</c:v>
                </c:pt>
                <c:pt idx="23">
                  <c:v>18</c:v>
                </c:pt>
                <c:pt idx="24">
                  <c:v>13</c:v>
                </c:pt>
                <c:pt idx="25">
                  <c:v>6</c:v>
                </c:pt>
                <c:pt idx="26">
                  <c:v>8</c:v>
                </c:pt>
                <c:pt idx="27">
                  <c:v>2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2-4FE3-8E7F-34A390E0C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061720"/>
        <c:axId val="740059424"/>
      </c:barChart>
      <c:catAx>
        <c:axId val="740061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59424"/>
        <c:crosses val="autoZero"/>
        <c:auto val="1"/>
        <c:lblAlgn val="ctr"/>
        <c:lblOffset val="100"/>
        <c:noMultiLvlLbl val="0"/>
      </c:catAx>
      <c:valAx>
        <c:axId val="7400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06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307DABC-AD79-449B-BCD2-835F75A3E805}">
  <sheetPr codeName="Chart15"/>
  <sheetViews>
    <sheetView tabSelected="1" zoomScale="10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13</xdr:row>
          <xdr:rowOff>76200</xdr:rowOff>
        </xdr:from>
        <xdr:to>
          <xdr:col>4</xdr:col>
          <xdr:colOff>209550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1355" cy="6088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1C8188-BFED-4CC3-ACE0-40325F46CD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"/>
  <sheetViews>
    <sheetView zoomScaleNormal="100" workbookViewId="0">
      <selection activeCell="A32" sqref="A32"/>
    </sheetView>
  </sheetViews>
  <sheetFormatPr defaultRowHeight="15" x14ac:dyDescent="0.25"/>
  <cols>
    <col min="1" max="1" width="19.140625" bestFit="1" customWidth="1"/>
    <col min="2" max="2" width="11.7109375" bestFit="1" customWidth="1"/>
    <col min="3" max="3" width="13.140625" customWidth="1"/>
    <col min="5" max="5" width="10.42578125" bestFit="1" customWidth="1"/>
    <col min="6" max="6" width="10.7109375" customWidth="1"/>
    <col min="7" max="7" width="11.85546875" bestFit="1" customWidth="1"/>
    <col min="8" max="8" width="17.5703125" customWidth="1"/>
    <col min="9" max="9" width="11" customWidth="1"/>
  </cols>
  <sheetData>
    <row r="1" spans="1:8" x14ac:dyDescent="0.25">
      <c r="A1" t="s">
        <v>3</v>
      </c>
    </row>
    <row r="2" spans="1:8" x14ac:dyDescent="0.25">
      <c r="B2" t="s">
        <v>1</v>
      </c>
      <c r="C2" t="s">
        <v>4</v>
      </c>
      <c r="D2" t="s">
        <v>2</v>
      </c>
      <c r="E2" t="s">
        <v>4</v>
      </c>
      <c r="F2" t="s">
        <v>9</v>
      </c>
      <c r="G2" t="s">
        <v>4</v>
      </c>
      <c r="H2" t="s">
        <v>7</v>
      </c>
    </row>
    <row r="3" spans="1:8" x14ac:dyDescent="0.25">
      <c r="A3" t="s">
        <v>0</v>
      </c>
      <c r="B3" s="13">
        <v>0.52140065729618068</v>
      </c>
      <c r="C3" t="s">
        <v>5</v>
      </c>
      <c r="D3">
        <v>2.25</v>
      </c>
      <c r="E3" t="s">
        <v>6</v>
      </c>
      <c r="F3">
        <v>125</v>
      </c>
      <c r="G3" t="s">
        <v>10</v>
      </c>
      <c r="H3" s="2">
        <f>B3*D3*F3/454</f>
        <v>0.32300426181619124</v>
      </c>
    </row>
    <row r="4" spans="1:8" x14ac:dyDescent="0.25">
      <c r="A4" t="s">
        <v>25</v>
      </c>
      <c r="B4" s="13">
        <v>3.5099246386803786</v>
      </c>
      <c r="C4" t="s">
        <v>5</v>
      </c>
      <c r="D4">
        <v>1</v>
      </c>
      <c r="E4" t="s">
        <v>8</v>
      </c>
      <c r="F4">
        <v>2.2000000000000002</v>
      </c>
      <c r="G4" t="s">
        <v>11</v>
      </c>
      <c r="H4" s="2">
        <f>B4*D4*F4/454*4.929</f>
        <v>8.3834627305996251E-2</v>
      </c>
    </row>
    <row r="5" spans="1:8" x14ac:dyDescent="0.25">
      <c r="A5" t="s">
        <v>26</v>
      </c>
      <c r="B5" s="13">
        <v>0.11067685793646154</v>
      </c>
      <c r="C5" t="s">
        <v>12</v>
      </c>
      <c r="D5">
        <v>1</v>
      </c>
      <c r="E5" t="s">
        <v>8</v>
      </c>
      <c r="F5">
        <v>2.16</v>
      </c>
      <c r="G5" t="s">
        <v>11</v>
      </c>
      <c r="H5" s="2">
        <f>B5*D5*F5/454*4.929*16</f>
        <v>4.1527283269802602E-2</v>
      </c>
    </row>
    <row r="6" spans="1:8" x14ac:dyDescent="0.25">
      <c r="A6" t="s">
        <v>27</v>
      </c>
      <c r="B6" s="13">
        <v>0.6</v>
      </c>
      <c r="C6" t="s">
        <v>13</v>
      </c>
      <c r="D6">
        <v>2</v>
      </c>
      <c r="E6" t="s">
        <v>14</v>
      </c>
      <c r="H6" s="2">
        <f>B6*D6</f>
        <v>1.2</v>
      </c>
    </row>
    <row r="7" spans="1:8" x14ac:dyDescent="0.25">
      <c r="A7" s="1" t="s">
        <v>28</v>
      </c>
      <c r="B7" s="13">
        <v>0.64344802677631374</v>
      </c>
      <c r="C7" t="s">
        <v>5</v>
      </c>
      <c r="D7">
        <v>0.75</v>
      </c>
      <c r="E7" t="s">
        <v>15</v>
      </c>
      <c r="F7">
        <v>1.59</v>
      </c>
      <c r="G7" t="s">
        <v>11</v>
      </c>
      <c r="H7" s="2">
        <f>B7*D7*F7*236.6/454</f>
        <v>0.39988098070223882</v>
      </c>
    </row>
    <row r="8" spans="1:8" x14ac:dyDescent="0.25">
      <c r="A8" s="1" t="s">
        <v>29</v>
      </c>
      <c r="B8" s="13">
        <v>2.916107988424812</v>
      </c>
      <c r="C8" t="s">
        <v>5</v>
      </c>
      <c r="D8">
        <v>0.75</v>
      </c>
      <c r="E8" t="s">
        <v>15</v>
      </c>
      <c r="F8">
        <v>0.93</v>
      </c>
      <c r="G8" t="s">
        <v>11</v>
      </c>
      <c r="H8" s="2">
        <f>B8*D8*F8*236.6/454</f>
        <v>1.0600020422197447</v>
      </c>
    </row>
    <row r="9" spans="1:8" x14ac:dyDescent="0.25">
      <c r="A9" t="s">
        <v>30</v>
      </c>
      <c r="B9" s="13">
        <v>2.1644365942478179</v>
      </c>
      <c r="C9" t="s">
        <v>16</v>
      </c>
      <c r="D9">
        <v>1</v>
      </c>
      <c r="E9" t="s">
        <v>8</v>
      </c>
      <c r="H9" s="2">
        <f>B9*D9/6</f>
        <v>0.36073943237463629</v>
      </c>
    </row>
    <row r="10" spans="1:8" x14ac:dyDescent="0.25">
      <c r="A10" t="s">
        <v>17</v>
      </c>
      <c r="B10" s="13">
        <v>0.25</v>
      </c>
      <c r="C10" t="s">
        <v>18</v>
      </c>
      <c r="D10">
        <v>2</v>
      </c>
      <c r="E10" t="s">
        <v>19</v>
      </c>
      <c r="H10" s="2">
        <f>B10*D10</f>
        <v>0.5</v>
      </c>
    </row>
    <row r="11" spans="1:8" x14ac:dyDescent="0.25">
      <c r="A11" t="s">
        <v>34</v>
      </c>
      <c r="B11" s="13">
        <v>2.2799999999999998</v>
      </c>
      <c r="C11" t="s">
        <v>20</v>
      </c>
      <c r="D11">
        <v>1</v>
      </c>
      <c r="E11" t="s">
        <v>21</v>
      </c>
      <c r="H11" s="13">
        <f>B11</f>
        <v>2.2799999999999998</v>
      </c>
    </row>
    <row r="12" spans="1:8" ht="15.75" thickBot="1" x14ac:dyDescent="0.3"/>
    <row r="13" spans="1:8" ht="15.75" thickBot="1" x14ac:dyDescent="0.3">
      <c r="G13" t="s">
        <v>22</v>
      </c>
      <c r="H13" s="7">
        <f>SUM(H3:H11)</f>
        <v>6.2489886276886093</v>
      </c>
    </row>
    <row r="14" spans="1:8" x14ac:dyDescent="0.25">
      <c r="H14" s="3"/>
    </row>
    <row r="15" spans="1:8" x14ac:dyDescent="0.25">
      <c r="A15" s="8"/>
      <c r="B15" s="2"/>
      <c r="G15" t="s">
        <v>24</v>
      </c>
      <c r="H15">
        <v>60</v>
      </c>
    </row>
    <row r="16" spans="1:8" x14ac:dyDescent="0.25">
      <c r="A16" s="8"/>
      <c r="G16" t="s">
        <v>23</v>
      </c>
      <c r="H16" s="11">
        <f>H13/H15</f>
        <v>0.10414981046147682</v>
      </c>
    </row>
    <row r="17" spans="1:9" x14ac:dyDescent="0.25">
      <c r="A17" s="8"/>
    </row>
    <row r="18" spans="1:9" ht="15.75" thickBot="1" x14ac:dyDescent="0.3">
      <c r="G18" t="s">
        <v>31</v>
      </c>
      <c r="H18" s="9">
        <v>0.25</v>
      </c>
      <c r="I18" t="s">
        <v>32</v>
      </c>
    </row>
    <row r="19" spans="1:9" ht="15.75" thickBot="1" x14ac:dyDescent="0.3">
      <c r="A19" t="s">
        <v>35</v>
      </c>
      <c r="E19" s="3"/>
      <c r="G19" s="10" t="s">
        <v>33</v>
      </c>
      <c r="H19" s="12">
        <f>$H$18-H16</f>
        <v>0.14585018953852319</v>
      </c>
      <c r="I19" s="3" t="s">
        <v>32</v>
      </c>
    </row>
    <row r="20" spans="1:9" x14ac:dyDescent="0.25">
      <c r="A20" t="s">
        <v>36</v>
      </c>
      <c r="C20" s="4"/>
      <c r="D20" s="3"/>
      <c r="E20" s="6"/>
      <c r="F20" s="3"/>
      <c r="G20" s="2"/>
      <c r="H20" s="3"/>
      <c r="I20" s="2"/>
    </row>
    <row r="21" spans="1:9" x14ac:dyDescent="0.25">
      <c r="C21" s="5"/>
      <c r="D21" s="3"/>
      <c r="E21" s="6"/>
      <c r="F21" s="3"/>
      <c r="G21" s="2"/>
      <c r="H21" s="3"/>
      <c r="I21" s="2"/>
    </row>
    <row r="22" spans="1:9" x14ac:dyDescent="0.25">
      <c r="C22" s="5"/>
      <c r="D22" s="3"/>
      <c r="E22" s="6"/>
      <c r="F22" s="3"/>
      <c r="G22" s="2"/>
      <c r="H22" s="3"/>
      <c r="I22" s="2"/>
    </row>
    <row r="23" spans="1:9" x14ac:dyDescent="0.25">
      <c r="C23" s="5"/>
      <c r="D23" s="3"/>
      <c r="E23" s="6"/>
      <c r="F23" s="3"/>
      <c r="G23" s="2"/>
      <c r="H23" s="3"/>
      <c r="I23" s="2"/>
    </row>
    <row r="24" spans="1:9" x14ac:dyDescent="0.25">
      <c r="C24" s="4"/>
      <c r="D24" s="3"/>
      <c r="E24" s="6"/>
      <c r="F24" s="3"/>
      <c r="G24" s="2"/>
      <c r="H24" s="3"/>
      <c r="I24" s="2"/>
    </row>
    <row r="25" spans="1:9" x14ac:dyDescent="0.25">
      <c r="C25" s="5"/>
      <c r="D25" s="3"/>
      <c r="E25" s="6"/>
      <c r="F25" s="3"/>
      <c r="G25" s="2"/>
      <c r="H25" s="3"/>
      <c r="I25" s="2"/>
    </row>
    <row r="26" spans="1:9" x14ac:dyDescent="0.25">
      <c r="C26" s="5"/>
      <c r="D26" s="3"/>
      <c r="E26" s="6"/>
      <c r="F26" s="3"/>
      <c r="G26" s="2"/>
      <c r="H26" s="3"/>
      <c r="I26" s="2"/>
    </row>
    <row r="27" spans="1:9" x14ac:dyDescent="0.25">
      <c r="C27" s="5"/>
      <c r="D27" s="3"/>
      <c r="E27" s="6"/>
      <c r="F27" s="3"/>
      <c r="G27" s="2"/>
      <c r="H27" s="3"/>
      <c r="I2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695325</xdr:colOff>
                    <xdr:row>13</xdr:row>
                    <xdr:rowOff>76200</xdr:rowOff>
                  </from>
                  <to>
                    <xdr:col>4</xdr:col>
                    <xdr:colOff>209550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29"/>
  <sheetViews>
    <sheetView workbookViewId="0">
      <selection sqref="A1:B29"/>
    </sheetView>
  </sheetViews>
  <sheetFormatPr defaultRowHeight="15" x14ac:dyDescent="0.25"/>
  <sheetData>
    <row r="1" spans="1:2" x14ac:dyDescent="0.25">
      <c r="A1">
        <v>0.1245</v>
      </c>
      <c r="B1">
        <v>2</v>
      </c>
    </row>
    <row r="2" spans="1:2" x14ac:dyDescent="0.25">
      <c r="A2">
        <v>0.1255</v>
      </c>
      <c r="B2">
        <v>3</v>
      </c>
    </row>
    <row r="3" spans="1:2" x14ac:dyDescent="0.25">
      <c r="A3">
        <v>0.1265</v>
      </c>
      <c r="B3">
        <v>7</v>
      </c>
    </row>
    <row r="4" spans="1:2" x14ac:dyDescent="0.25">
      <c r="A4">
        <v>0.1275</v>
      </c>
      <c r="B4">
        <v>27</v>
      </c>
    </row>
    <row r="5" spans="1:2" x14ac:dyDescent="0.25">
      <c r="A5">
        <v>0.1285</v>
      </c>
      <c r="B5">
        <v>42</v>
      </c>
    </row>
    <row r="6" spans="1:2" x14ac:dyDescent="0.25">
      <c r="A6">
        <v>0.1295</v>
      </c>
      <c r="B6">
        <v>56</v>
      </c>
    </row>
    <row r="7" spans="1:2" x14ac:dyDescent="0.25">
      <c r="A7">
        <v>0.1305</v>
      </c>
      <c r="B7">
        <v>36</v>
      </c>
    </row>
    <row r="8" spans="1:2" x14ac:dyDescent="0.25">
      <c r="A8">
        <v>0.13150000000000001</v>
      </c>
      <c r="B8">
        <v>18</v>
      </c>
    </row>
    <row r="9" spans="1:2" x14ac:dyDescent="0.25">
      <c r="A9">
        <v>0.13250000000000001</v>
      </c>
      <c r="B9">
        <v>32</v>
      </c>
    </row>
    <row r="10" spans="1:2" x14ac:dyDescent="0.25">
      <c r="A10">
        <v>0.13350000000000001</v>
      </c>
      <c r="B10">
        <v>25</v>
      </c>
    </row>
    <row r="11" spans="1:2" x14ac:dyDescent="0.25">
      <c r="A11">
        <v>0.13450000000000001</v>
      </c>
      <c r="B11">
        <v>23</v>
      </c>
    </row>
    <row r="12" spans="1:2" x14ac:dyDescent="0.25">
      <c r="A12">
        <v>0.13550000000000001</v>
      </c>
      <c r="B12">
        <v>12</v>
      </c>
    </row>
    <row r="13" spans="1:2" x14ac:dyDescent="0.25">
      <c r="A13">
        <v>0.13650000000000001</v>
      </c>
      <c r="B13">
        <v>9</v>
      </c>
    </row>
    <row r="14" spans="1:2" x14ac:dyDescent="0.25">
      <c r="A14">
        <v>0.13750000000000001</v>
      </c>
      <c r="B14">
        <v>25</v>
      </c>
    </row>
    <row r="15" spans="1:2" x14ac:dyDescent="0.25">
      <c r="A15">
        <v>0.13850000000000001</v>
      </c>
      <c r="B15">
        <v>55</v>
      </c>
    </row>
    <row r="16" spans="1:2" x14ac:dyDescent="0.25">
      <c r="A16">
        <v>0.13950000000000001</v>
      </c>
      <c r="B16">
        <v>105</v>
      </c>
    </row>
    <row r="17" spans="1:2" x14ac:dyDescent="0.25">
      <c r="A17">
        <v>0.14050000000000001</v>
      </c>
      <c r="B17">
        <v>122</v>
      </c>
    </row>
    <row r="18" spans="1:2" x14ac:dyDescent="0.25">
      <c r="A18">
        <v>0.14150000000000001</v>
      </c>
      <c r="B18">
        <v>82</v>
      </c>
    </row>
    <row r="19" spans="1:2" x14ac:dyDescent="0.25">
      <c r="A19">
        <v>0.14250000000000002</v>
      </c>
      <c r="B19">
        <v>66</v>
      </c>
    </row>
    <row r="20" spans="1:2" x14ac:dyDescent="0.25">
      <c r="A20">
        <v>0.14350000000000002</v>
      </c>
      <c r="B20">
        <v>61</v>
      </c>
    </row>
    <row r="21" spans="1:2" x14ac:dyDescent="0.25">
      <c r="A21">
        <v>0.14450000000000002</v>
      </c>
      <c r="B21">
        <v>55</v>
      </c>
    </row>
    <row r="22" spans="1:2" x14ac:dyDescent="0.25">
      <c r="A22">
        <v>0.14550000000000002</v>
      </c>
      <c r="B22">
        <v>60</v>
      </c>
    </row>
    <row r="23" spans="1:2" x14ac:dyDescent="0.25">
      <c r="A23">
        <v>0.14650000000000002</v>
      </c>
      <c r="B23">
        <v>29</v>
      </c>
    </row>
    <row r="24" spans="1:2" x14ac:dyDescent="0.25">
      <c r="A24">
        <v>0.14750000000000002</v>
      </c>
      <c r="B24">
        <v>18</v>
      </c>
    </row>
    <row r="25" spans="1:2" x14ac:dyDescent="0.25">
      <c r="A25">
        <v>0.14850000000000002</v>
      </c>
      <c r="B25">
        <v>13</v>
      </c>
    </row>
    <row r="26" spans="1:2" x14ac:dyDescent="0.25">
      <c r="A26">
        <v>0.14950000000000002</v>
      </c>
      <c r="B26">
        <v>6</v>
      </c>
    </row>
    <row r="27" spans="1:2" x14ac:dyDescent="0.25">
      <c r="A27">
        <v>0.15050000000000002</v>
      </c>
      <c r="B27">
        <v>8</v>
      </c>
    </row>
    <row r="28" spans="1:2" x14ac:dyDescent="0.25">
      <c r="A28">
        <v>0.15150000000000002</v>
      </c>
      <c r="B28">
        <v>2</v>
      </c>
    </row>
    <row r="29" spans="1:2" x14ac:dyDescent="0.25">
      <c r="A29">
        <v>0.15250000000000002</v>
      </c>
      <c r="B2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Main</vt:lpstr>
      <vt:lpstr>Histogram Data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Tony Bai</cp:lastModifiedBy>
  <dcterms:created xsi:type="dcterms:W3CDTF">2013-10-29T18:00:12Z</dcterms:created>
  <dcterms:modified xsi:type="dcterms:W3CDTF">2019-10-20T04:03:33Z</dcterms:modified>
</cp:coreProperties>
</file>